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uben.trivino\Documents\"/>
    </mc:Choice>
  </mc:AlternateContent>
  <xr:revisionPtr revIDLastSave="0" documentId="8_{D3D64B00-643F-4B60-8C72-01A1165D1EC7}" xr6:coauthVersionLast="47" xr6:coauthVersionMax="47" xr10:uidLastSave="{00000000-0000-0000-0000-000000000000}"/>
  <bookViews>
    <workbookView xWindow="-110" yWindow="-110" windowWidth="19420" windowHeight="10300" xr2:uid="{31903421-FE29-4E21-A055-A08A95019A27}"/>
  </bookViews>
  <sheets>
    <sheet name="ID_Cliente,Nombre,Apellido,Emai" sheetId="2" r:id="rId1"/>
    <sheet name="Tabla Dinamica" sheetId="3" r:id="rId2"/>
  </sheets>
  <definedNames>
    <definedName name="DatosExternos_1" localSheetId="0" hidden="1">'ID_Cliente,Nombre,Apellido,Emai'!$A$1:$H$7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992C6-B876-44DB-8F6F-18D7FA121D28}" keepAlive="1" name="Consulta - ID_Cliente,Nombre,Apellido,Email,Te" description="Conexión a la consulta 'ID_Cliente,Nombre,Apellido,Email,Te' en el libro." type="5" refreshedVersion="8" background="1" saveData="1">
    <dbPr connection="Provider=Microsoft.Mashup.OleDb.1;Data Source=$Workbook$;Location=ID_Cliente,Nombre,Apellido,Email,Te;Extended Properties=&quot;&quot;" command="SELECT * FROM [ID_Cliente,Nombre,Apellido,Email,Te]"/>
  </connection>
</connections>
</file>

<file path=xl/sharedStrings.xml><?xml version="1.0" encoding="utf-8"?>
<sst xmlns="http://schemas.openxmlformats.org/spreadsheetml/2006/main" count="55" uniqueCount="48">
  <si>
    <t>ID_Cliente</t>
  </si>
  <si>
    <t>Nombre</t>
  </si>
  <si>
    <t>Apellido</t>
  </si>
  <si>
    <t>Email</t>
  </si>
  <si>
    <t>Telefono</t>
  </si>
  <si>
    <t>Ciudad</t>
  </si>
  <si>
    <t>Monto_Compra</t>
  </si>
  <si>
    <t>Fecha</t>
  </si>
  <si>
    <t>C001</t>
  </si>
  <si>
    <t>Juan</t>
  </si>
  <si>
    <t>Perez</t>
  </si>
  <si>
    <t>juan.perez@email.com</t>
  </si>
  <si>
    <t>555-1234</t>
  </si>
  <si>
    <t>Madrid</t>
  </si>
  <si>
    <t>C002</t>
  </si>
  <si>
    <t>Maria</t>
  </si>
  <si>
    <t>Garcia</t>
  </si>
  <si>
    <t>m.garcia@email.com</t>
  </si>
  <si>
    <t>555-5678</t>
  </si>
  <si>
    <t>Barcelona</t>
  </si>
  <si>
    <t>C003</t>
  </si>
  <si>
    <t>Luis</t>
  </si>
  <si>
    <t>Rodriguez</t>
  </si>
  <si>
    <t>l.rodriguez@email.com</t>
  </si>
  <si>
    <t>555-9012</t>
  </si>
  <si>
    <t>Valencia</t>
  </si>
  <si>
    <t>C004</t>
  </si>
  <si>
    <t>Ana</t>
  </si>
  <si>
    <t>Martinez</t>
  </si>
  <si>
    <t>a.martinez@email.com</t>
  </si>
  <si>
    <t/>
  </si>
  <si>
    <t>Sevilla</t>
  </si>
  <si>
    <t>C005</t>
  </si>
  <si>
    <t>Carlos</t>
  </si>
  <si>
    <t>Lopez</t>
  </si>
  <si>
    <t>c.lopez@email.com</t>
  </si>
  <si>
    <t>555-3456</t>
  </si>
  <si>
    <t>Bilbao</t>
  </si>
  <si>
    <t>C007</t>
  </si>
  <si>
    <t>Elena</t>
  </si>
  <si>
    <t>Sanz</t>
  </si>
  <si>
    <t>e.sanz@email.com</t>
  </si>
  <si>
    <t>555-7890</t>
  </si>
  <si>
    <t>Zaragoza</t>
  </si>
  <si>
    <t>Total general</t>
  </si>
  <si>
    <t>Suma de Monto_Compra</t>
  </si>
  <si>
    <t>Promedio de Monto_Compra2</t>
  </si>
  <si>
    <t>Bono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</si>
</sst>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[ID_Cliente,Nombre,Apellido,Email,Te.xlsx]Tabla Dinamica!TablaDinámica1</c:name>
    <c:fmtId val="4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 Dinamica'!$C$3</c:f>
              <c:strCache>
                <c:ptCount val="1"/>
                <c:pt idx="0">
                  <c:v>Suma de Monto_Compra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 Dinamica'!$B$4:$B$10</c:f>
              <c:strCache>
                <c:ptCount val="6"/>
                <c:pt idx="0">
                  <c:v>Barcelona</c:v>
                </c:pt>
                <c:pt idx="1">
                  <c:v>Bilbao</c:v>
                </c:pt>
                <c:pt idx="2">
                  <c:v>Madrid</c:v>
                </c:pt>
                <c:pt idx="3">
                  <c:v>Sevilla</c:v>
                </c:pt>
                <c:pt idx="4">
                  <c:v>Valencia</c:v>
                </c:pt>
                <c:pt idx="5">
                  <c:v>Zaragoza</c:v>
                </c:pt>
              </c:strCache>
            </c:strRef>
          </c:cat>
          <c:val>
            <c:numRef>
              <c:f>'Tabla Dinamica'!$C$4:$C$10</c:f>
              <c:numCache>
                <c:formatCode>General</c:formatCode>
                <c:ptCount val="6"/>
                <c:pt idx="0">
                  <c:v>125000</c:v>
                </c:pt>
                <c:pt idx="1">
                  <c:v>200000</c:v>
                </c:pt>
                <c:pt idx="2">
                  <c:v>100000</c:v>
                </c:pt>
                <c:pt idx="3">
                  <c:v>175000</c:v>
                </c:pt>
                <c:pt idx="4">
                  <c:v>150000</c:v>
                </c:pt>
                <c:pt idx="5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D-4E9D-A9AF-E224FE8BAA8E}"/>
            </c:ext>
          </c:extLst>
        </c:ser>
        <c:ser>
          <c:idx val="1"/>
          <c:order val="1"/>
          <c:tx>
            <c:strRef>
              <c:f>'Tabla Dinamica'!$D$3</c:f>
              <c:strCache>
                <c:ptCount val="1"/>
                <c:pt idx="0">
                  <c:v>Promedio de Monto_Compra2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 Dinamica'!$B$4:$B$10</c:f>
              <c:strCache>
                <c:ptCount val="6"/>
                <c:pt idx="0">
                  <c:v>Barcelona</c:v>
                </c:pt>
                <c:pt idx="1">
                  <c:v>Bilbao</c:v>
                </c:pt>
                <c:pt idx="2">
                  <c:v>Madrid</c:v>
                </c:pt>
                <c:pt idx="3">
                  <c:v>Sevilla</c:v>
                </c:pt>
                <c:pt idx="4">
                  <c:v>Valencia</c:v>
                </c:pt>
                <c:pt idx="5">
                  <c:v>Zaragoza</c:v>
                </c:pt>
              </c:strCache>
            </c:strRef>
          </c:cat>
          <c:val>
            <c:numRef>
              <c:f>'Tabla Dinamica'!$D$4:$D$10</c:f>
              <c:numCache>
                <c:formatCode>General</c:formatCode>
                <c:ptCount val="6"/>
                <c:pt idx="0">
                  <c:v>125000</c:v>
                </c:pt>
                <c:pt idx="1">
                  <c:v>200000</c:v>
                </c:pt>
                <c:pt idx="2">
                  <c:v>100000</c:v>
                </c:pt>
                <c:pt idx="3">
                  <c:v>175000</c:v>
                </c:pt>
                <c:pt idx="4">
                  <c:v>150000</c:v>
                </c:pt>
                <c:pt idx="5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D-4E9D-A9AF-E224FE8B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914704"/>
        <c:axId val="725067040"/>
        <c:axId val="0"/>
      </c:bar3DChart>
      <c:catAx>
        <c:axId val="86191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5067040"/>
        <c:crosses val="autoZero"/>
        <c:auto val="1"/>
        <c:lblAlgn val="ctr"/>
        <c:lblOffset val="100"/>
        <c:noMultiLvlLbl val="0"/>
      </c:catAx>
      <c:valAx>
        <c:axId val="725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191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165100</xdr:rowOff>
    </xdr:from>
    <xdr:to>
      <xdr:col>9</xdr:col>
      <xdr:colOff>692150</xdr:colOff>
      <xdr:row>16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56AD30-8141-7E7A-A9EE-6B880E3B7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en Dario Triviño Diaz" refreshedDate="46039.037133333331" createdVersion="8" refreshedVersion="8" minRefreshableVersion="3" recordCount="6" xr:uid="{73EA73EA-1EA2-469F-8B4D-EB89FC317D24}">
  <cacheSource type="worksheet">
    <worksheetSource name="ID_Cliente_Nombre_Apellido_Email_Te"/>
  </cacheSource>
  <cacheFields count="8">
    <cacheField name="ID_Cliente" numFmtId="0">
      <sharedItems/>
    </cacheField>
    <cacheField name="Nombre" numFmtId="0">
      <sharedItems/>
    </cacheField>
    <cacheField name="Apellido" numFmtId="0">
      <sharedItems/>
    </cacheField>
    <cacheField name="Email" numFmtId="0">
      <sharedItems/>
    </cacheField>
    <cacheField name="Telefono" numFmtId="0">
      <sharedItems/>
    </cacheField>
    <cacheField name="Ciudad" numFmtId="0">
      <sharedItems count="6">
        <s v="Madrid"/>
        <s v="Barcelona"/>
        <s v="Valencia"/>
        <s v="Sevilla"/>
        <s v="Bilbao"/>
        <s v="Zaragoza"/>
      </sharedItems>
    </cacheField>
    <cacheField name="Monto_Compra" numFmtId="0">
      <sharedItems containsSemiMixedTypes="0" containsString="0" containsNumber="1" containsInteger="1" minValue="100000" maxValue="225000"/>
    </cacheField>
    <cacheField name="Fecha" numFmtId="14">
      <sharedItems containsSemiMixedTypes="0" containsNonDate="0" containsDate="1" containsString="0" minDate="2025-01-15T00:00:00" maxDate="2025-01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C001"/>
    <s v="Juan"/>
    <s v="Perez"/>
    <s v="juan.perez@email.com"/>
    <s v="555-1234"/>
    <x v="0"/>
    <n v="100000"/>
    <d v="2025-01-15T00:00:00"/>
  </r>
  <r>
    <s v="C002"/>
    <s v="Maria"/>
    <s v="Garcia"/>
    <s v="m.garcia@email.com"/>
    <s v="555-5678"/>
    <x v="1"/>
    <n v="125000"/>
    <d v="2025-01-15T00:00:00"/>
  </r>
  <r>
    <s v="C003"/>
    <s v="Luis"/>
    <s v="Rodriguez"/>
    <s v="l.rodriguez@email.com"/>
    <s v="555-9012"/>
    <x v="2"/>
    <n v="150000"/>
    <d v="2025-01-15T00:00:00"/>
  </r>
  <r>
    <s v="C004"/>
    <s v="Ana"/>
    <s v="Martinez"/>
    <s v="a.martinez@email.com"/>
    <s v=""/>
    <x v="3"/>
    <n v="175000"/>
    <d v="2025-01-15T00:00:00"/>
  </r>
  <r>
    <s v="C005"/>
    <s v="Carlos"/>
    <s v="Lopez"/>
    <s v="c.lopez@email.com"/>
    <s v="555-3456"/>
    <x v="4"/>
    <n v="200000"/>
    <d v="2025-01-15T00:00:00"/>
  </r>
  <r>
    <s v="C007"/>
    <s v="Elena"/>
    <s v="Sanz"/>
    <s v="e.sanz@email.com"/>
    <s v="555-7890"/>
    <x v="5"/>
    <n v="225000"/>
    <d v="2025-01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0B756-4EDC-4F5A-A104-AB48DA824BE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8" rowHeaderCaption="Ciudad">
  <location ref="B3:D10" firstHeaderRow="0" firstDataRow="1" firstDataCol="1"/>
  <pivotFields count="8"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dataField="1" showAll="0"/>
    <pivotField numFmtId="1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_Compra" fld="6" baseField="0" baseItem="0"/>
    <dataField name="Promedio de Monto_Compra2" fld="6" subtotal="average" baseField="5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9498EB-ED92-4F74-8A29-5D8F9D88C95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_Cliente" tableColumnId="1"/>
      <queryTableField id="2" name="Nombre" tableColumnId="2"/>
      <queryTableField id="3" name="Apellido" tableColumnId="3"/>
      <queryTableField id="4" name="Email" tableColumnId="4"/>
      <queryTableField id="5" name="Telefono" tableColumnId="5"/>
      <queryTableField id="6" name="Ciudad" tableColumnId="6"/>
      <queryTableField id="7" name="Monto_Compra" tableColumnId="7"/>
      <queryTableField id="8" name="Fecha" tableColumnId="8"/>
      <queryTableField id="9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9D3E7-4F80-419E-B4A6-F71A4B17F59B}" name="ID_Cliente_Nombre_Apellido_Email_Te" displayName="ID_Cliente_Nombre_Apellido_Email_Te" ref="A1:I7" tableType="queryTable" totalsRowShown="0">
  <autoFilter ref="A1:I7" xr:uid="{6749D3E7-4F80-419E-B4A6-F71A4B17F59B}"/>
  <tableColumns count="9">
    <tableColumn id="1" xr3:uid="{F9E4E144-EB62-47C7-A600-A20C15E00709}" uniqueName="1" name="ID_Cliente" queryTableFieldId="1" dataDxfId="7"/>
    <tableColumn id="2" xr3:uid="{2A3BF77E-BF56-450A-B41F-7FE2AAADAEA3}" uniqueName="2" name="Nombre" queryTableFieldId="2" dataDxfId="6"/>
    <tableColumn id="3" xr3:uid="{DE6ECDC4-25AE-4964-AC3D-00774124EF4D}" uniqueName="3" name="Apellido" queryTableFieldId="3" dataDxfId="5"/>
    <tableColumn id="4" xr3:uid="{5C3DAA8E-250E-4387-9996-9C0B9177518D}" uniqueName="4" name="Email" queryTableFieldId="4" dataDxfId="4"/>
    <tableColumn id="5" xr3:uid="{D257E6D1-FAFB-44A7-985A-3E92FCA64F4E}" uniqueName="5" name="Telefono" queryTableFieldId="5" dataDxfId="3"/>
    <tableColumn id="6" xr3:uid="{0BC55F1C-5EE5-4ABC-926D-9D1382DBE46F}" uniqueName="6" name="Ciudad" queryTableFieldId="6" dataDxfId="2"/>
    <tableColumn id="7" xr3:uid="{2B71AACC-2F81-4847-ACDB-5FA58F128474}" uniqueName="7" name="Monto_Compra" queryTableFieldId="7"/>
    <tableColumn id="8" xr3:uid="{BF06087B-C606-4505-A282-CB184BB32B05}" uniqueName="8" name="Fecha" queryTableFieldId="8" dataDxfId="1"/>
    <tableColumn id="10" xr3:uid="{552D4EEE-AB65-4D68-A063-F7648A812E07}" uniqueName="10" name="Bono 5%" queryTableFieldId="9" dataDxfId="0">
      <calculatedColumnFormula>ID_Cliente_Nombre_Apellido_Email_Te[[#This Row],[Monto_Compra]]*0.05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1126-5E00-41F4-B21D-72DF8530AFAF}">
  <dimension ref="A1:J7"/>
  <sheetViews>
    <sheetView tabSelected="1" workbookViewId="0">
      <selection activeCell="G11" sqref="G11"/>
    </sheetView>
  </sheetViews>
  <sheetFormatPr baseColWidth="10" defaultRowHeight="14.5" x14ac:dyDescent="0.35"/>
  <cols>
    <col min="1" max="1" width="11.81640625" bestFit="1" customWidth="1"/>
    <col min="2" max="2" width="9.7265625" bestFit="1" customWidth="1"/>
    <col min="3" max="3" width="10" bestFit="1" customWidth="1"/>
    <col min="4" max="4" width="19.7265625" bestFit="1" customWidth="1"/>
    <col min="5" max="5" width="10.26953125" bestFit="1" customWidth="1"/>
    <col min="6" max="6" width="9.1796875" bestFit="1" customWidth="1"/>
    <col min="7" max="7" width="15.7265625" bestFit="1" customWidth="1"/>
    <col min="8" max="8" width="10.08984375" bestFit="1" customWidth="1"/>
    <col min="9" max="9" width="10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</row>
    <row r="2" spans="1:10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100000</v>
      </c>
      <c r="H2" s="2">
        <v>45672</v>
      </c>
      <c r="I2" s="1">
        <f>ID_Cliente_Nombre_Apellido_Email_Te[[#This Row],[Monto_Compra]]*0.05</f>
        <v>5000</v>
      </c>
      <c r="J2" s="2"/>
    </row>
    <row r="3" spans="1:10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>
        <v>125000</v>
      </c>
      <c r="H3" s="2">
        <v>45672</v>
      </c>
      <c r="I3" s="1">
        <f>ID_Cliente_Nombre_Apellido_Email_Te[[#This Row],[Monto_Compra]]*0.05</f>
        <v>6250</v>
      </c>
      <c r="J3" s="2"/>
    </row>
    <row r="4" spans="1:10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>
        <v>150000</v>
      </c>
      <c r="H4" s="2">
        <v>45672</v>
      </c>
      <c r="I4" s="1">
        <f>ID_Cliente_Nombre_Apellido_Email_Te[[#This Row],[Monto_Compra]]*0.05</f>
        <v>7500</v>
      </c>
      <c r="J4" s="2"/>
    </row>
    <row r="5" spans="1:10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>
        <v>175000</v>
      </c>
      <c r="H5" s="2">
        <v>45672</v>
      </c>
      <c r="I5" s="1">
        <f>ID_Cliente_Nombre_Apellido_Email_Te[[#This Row],[Monto_Compra]]*0.05</f>
        <v>8750</v>
      </c>
      <c r="J5" s="2"/>
    </row>
    <row r="6" spans="1:10" x14ac:dyDescent="0.3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>
        <v>200000</v>
      </c>
      <c r="H6" s="2">
        <v>45672</v>
      </c>
      <c r="I6" s="1">
        <f>ID_Cliente_Nombre_Apellido_Email_Te[[#This Row],[Monto_Compra]]*0.05</f>
        <v>10000</v>
      </c>
      <c r="J6" s="2"/>
    </row>
    <row r="7" spans="1:10" x14ac:dyDescent="0.3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>
        <v>225000</v>
      </c>
      <c r="H7" s="2">
        <v>45672</v>
      </c>
      <c r="I7" s="1">
        <f>ID_Cliente_Nombre_Apellido_Email_Te[[#This Row],[Monto_Compra]]*0.05</f>
        <v>11250</v>
      </c>
      <c r="J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C514-4828-4E6A-9C82-4DB2C81C9FE2}">
  <dimension ref="B3:D10"/>
  <sheetViews>
    <sheetView workbookViewId="0">
      <selection activeCell="L7" sqref="L7"/>
    </sheetView>
  </sheetViews>
  <sheetFormatPr baseColWidth="10" defaultRowHeight="14.5" x14ac:dyDescent="0.35"/>
  <cols>
    <col min="2" max="2" width="11.453125" bestFit="1" customWidth="1"/>
    <col min="3" max="3" width="21.26953125" bestFit="1" customWidth="1"/>
    <col min="4" max="4" width="25.453125" bestFit="1" customWidth="1"/>
  </cols>
  <sheetData>
    <row r="3" spans="2:4" x14ac:dyDescent="0.35">
      <c r="B3" s="3" t="s">
        <v>5</v>
      </c>
      <c r="C3" t="s">
        <v>45</v>
      </c>
      <c r="D3" t="s">
        <v>46</v>
      </c>
    </row>
    <row r="4" spans="2:4" x14ac:dyDescent="0.35">
      <c r="B4" s="4" t="s">
        <v>19</v>
      </c>
      <c r="C4" s="1">
        <v>125000</v>
      </c>
      <c r="D4" s="1">
        <v>125000</v>
      </c>
    </row>
    <row r="5" spans="2:4" x14ac:dyDescent="0.35">
      <c r="B5" s="4" t="s">
        <v>37</v>
      </c>
      <c r="C5" s="1">
        <v>200000</v>
      </c>
      <c r="D5" s="1">
        <v>200000</v>
      </c>
    </row>
    <row r="6" spans="2:4" x14ac:dyDescent="0.35">
      <c r="B6" s="4" t="s">
        <v>13</v>
      </c>
      <c r="C6" s="1">
        <v>100000</v>
      </c>
      <c r="D6" s="1">
        <v>100000</v>
      </c>
    </row>
    <row r="7" spans="2:4" x14ac:dyDescent="0.35">
      <c r="B7" s="4" t="s">
        <v>31</v>
      </c>
      <c r="C7" s="1">
        <v>175000</v>
      </c>
      <c r="D7" s="1">
        <v>175000</v>
      </c>
    </row>
    <row r="8" spans="2:4" x14ac:dyDescent="0.35">
      <c r="B8" s="4" t="s">
        <v>25</v>
      </c>
      <c r="C8" s="1">
        <v>150000</v>
      </c>
      <c r="D8" s="1">
        <v>150000</v>
      </c>
    </row>
    <row r="9" spans="2:4" x14ac:dyDescent="0.35">
      <c r="B9" s="4" t="s">
        <v>43</v>
      </c>
      <c r="C9" s="1">
        <v>225000</v>
      </c>
      <c r="D9" s="1">
        <v>225000</v>
      </c>
    </row>
    <row r="10" spans="2:4" x14ac:dyDescent="0.35">
      <c r="B10" s="4" t="s">
        <v>44</v>
      </c>
      <c r="C10" s="1">
        <v>975000</v>
      </c>
      <c r="D10" s="1">
        <v>162500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70DB8-1CA4-4568-90EC-AB3FBC376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ID_Cliente,Nombre,Apellido,Emai</vt:lpstr>
      <vt:lpstr>Tabla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Triviño Diaz</dc:creator>
  <cp:lastModifiedBy>Ruben Dario Triviño Diaz</cp:lastModifiedBy>
  <dcterms:created xsi:type="dcterms:W3CDTF">2026-01-17T05:52:05Z</dcterms:created>
  <dcterms:modified xsi:type="dcterms:W3CDTF">2026-01-17T06:07:00Z</dcterms:modified>
</cp:coreProperties>
</file>